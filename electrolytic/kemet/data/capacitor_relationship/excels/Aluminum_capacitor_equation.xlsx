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capacitor_relationship\excels\"/>
    </mc:Choice>
  </mc:AlternateContent>
  <xr:revisionPtr revIDLastSave="0" documentId="13_ncr:1_{36707465-6E83-4628-AEB1-767430D83222}" xr6:coauthVersionLast="47" xr6:coauthVersionMax="47" xr10:uidLastSave="{00000000-0000-0000-0000-000000000000}"/>
  <bookViews>
    <workbookView xWindow="380" yWindow="380" windowWidth="19200" windowHeight="11170" activeTab="1" xr2:uid="{00000000-000D-0000-FFFF-FFFF00000000}"/>
  </bookViews>
  <sheets>
    <sheet name="equations" sheetId="2" r:id="rId1"/>
    <sheet name="original_data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<sst xmlns="http://schemas.openxmlformats.org/spreadsheetml/2006/main" count="108" uniqueCount="58">
  <si>
    <t>A700</t>
    <phoneticPr fontId="1" type="noConversion"/>
  </si>
  <si>
    <t>Resonant frequency</t>
    <phoneticPr fontId="1" type="noConversion"/>
  </si>
  <si>
    <t>500 kHz</t>
    <phoneticPr fontId="1" type="noConversion"/>
  </si>
  <si>
    <t>ESR vs frequency</t>
    <phoneticPr fontId="1" type="noConversion"/>
  </si>
  <si>
    <t>frequency</t>
    <phoneticPr fontId="1" type="noConversion"/>
  </si>
  <si>
    <t>frequency /Hz</t>
    <phoneticPr fontId="1" type="noConversion"/>
  </si>
  <si>
    <t>ESR /ohm</t>
    <phoneticPr fontId="1" type="noConversion"/>
  </si>
  <si>
    <t>Surface Mount Solid Polymer Aluminum Capacitors</t>
  </si>
  <si>
    <t>ESR vs temperature</t>
    <phoneticPr fontId="1" type="noConversion"/>
  </si>
  <si>
    <t>temperature /deg</t>
    <phoneticPr fontId="1" type="noConversion"/>
  </si>
  <si>
    <t>current compensation vs frequency</t>
    <phoneticPr fontId="1" type="noConversion"/>
  </si>
  <si>
    <t>current compensation</t>
    <phoneticPr fontId="1" type="noConversion"/>
  </si>
  <si>
    <t>current ratio</t>
    <phoneticPr fontId="1" type="noConversion"/>
  </si>
  <si>
    <t>A765</t>
    <phoneticPr fontId="1" type="noConversion"/>
  </si>
  <si>
    <t>Aluminum organic capacitor</t>
    <phoneticPr fontId="1" type="noConversion"/>
  </si>
  <si>
    <t>A771</t>
    <phoneticPr fontId="1" type="noConversion"/>
  </si>
  <si>
    <t>ESR vs temperature(special type?)</t>
    <phoneticPr fontId="1" type="noConversion"/>
  </si>
  <si>
    <t>ESR /mohm</t>
    <phoneticPr fontId="1" type="noConversion"/>
  </si>
  <si>
    <t>Surface Mount Hybrid Aluminum Polymer Capacitors</t>
  </si>
  <si>
    <t>current compenation factor vs frequency</t>
    <phoneticPr fontId="1" type="noConversion"/>
  </si>
  <si>
    <t>current compensation &lt;50V</t>
    <phoneticPr fontId="1" type="noConversion"/>
  </si>
  <si>
    <t>current compensation &gt;=50V</t>
    <phoneticPr fontId="1" type="noConversion"/>
  </si>
  <si>
    <t>ESR vs freqyuency</t>
    <phoneticPr fontId="1" type="noConversion"/>
  </si>
  <si>
    <t>from A780</t>
    <phoneticPr fontId="1" type="noConversion"/>
  </si>
  <si>
    <t>resonance frequnecy</t>
    <phoneticPr fontId="1" type="noConversion"/>
  </si>
  <si>
    <t>ref A782</t>
    <phoneticPr fontId="1" type="noConversion"/>
  </si>
  <si>
    <t>Lifetime coeffcient</t>
    <phoneticPr fontId="1" type="noConversion"/>
  </si>
  <si>
    <t>from A782</t>
    <phoneticPr fontId="1" type="noConversion"/>
  </si>
  <si>
    <t>每升高10度带来的寿命降低比例，10^((x-a)/b)</t>
    <phoneticPr fontId="1" type="noConversion"/>
  </si>
  <si>
    <t xml:space="preserve">Hybrid Axial Capacitors </t>
    <phoneticPr fontId="1" type="noConversion"/>
  </si>
  <si>
    <t>ref PHA223</t>
    <phoneticPr fontId="1" type="noConversion"/>
  </si>
  <si>
    <t>current coefficient vs temperature</t>
    <phoneticPr fontId="1" type="noConversion"/>
  </si>
  <si>
    <t>ref PHA225</t>
    <phoneticPr fontId="1" type="noConversion"/>
  </si>
  <si>
    <t>ripple temperature coefficient</t>
    <phoneticPr fontId="1" type="noConversion"/>
  </si>
  <si>
    <t>ripple /A 100 kHz</t>
    <phoneticPr fontId="1" type="noConversion"/>
  </si>
  <si>
    <t>ripple /A 100 Hz</t>
    <phoneticPr fontId="1" type="noConversion"/>
  </si>
  <si>
    <t>ripple /A 1 kHz</t>
    <phoneticPr fontId="1" type="noConversion"/>
  </si>
  <si>
    <t xml:space="preserve">Axial Aluminum Electrolytic Capacitors </t>
    <phoneticPr fontId="1" type="noConversion"/>
  </si>
  <si>
    <t>ref PEG130</t>
    <phoneticPr fontId="1" type="noConversion"/>
  </si>
  <si>
    <t>Radial Crown SMD Aluminum Electrolytic Capacitors</t>
  </si>
  <si>
    <t>ref PEV228</t>
    <phoneticPr fontId="1" type="noConversion"/>
  </si>
  <si>
    <t>Snap-In Aluminum Electrolytic Capacitors</t>
  </si>
  <si>
    <t>ref ELD</t>
    <phoneticPr fontId="1" type="noConversion"/>
  </si>
  <si>
    <t>current compensation &lt;=450 V</t>
    <phoneticPr fontId="1" type="noConversion"/>
  </si>
  <si>
    <t>Radial Aluminum Electrolytic Capacitors</t>
  </si>
  <si>
    <t>ref  ESC</t>
    <phoneticPr fontId="1" type="noConversion"/>
  </si>
  <si>
    <t>ref ESC</t>
    <phoneticPr fontId="1" type="noConversion"/>
  </si>
  <si>
    <t>ref ESS</t>
    <phoneticPr fontId="1" type="noConversion"/>
  </si>
  <si>
    <t>from PEG127</t>
    <phoneticPr fontId="1" type="noConversion"/>
  </si>
  <si>
    <t>ref PEG127</t>
    <phoneticPr fontId="1" type="noConversion"/>
  </si>
  <si>
    <t>ESR vs temperature 5 kHz</t>
    <phoneticPr fontId="1" type="noConversion"/>
  </si>
  <si>
    <t>Aluminum Electrolytic Capacitor (in comparison)</t>
    <phoneticPr fontId="1" type="noConversion"/>
  </si>
  <si>
    <t>second order capacitance Ce=0.01Co at &gt;10kHz</t>
    <phoneticPr fontId="1" type="noConversion"/>
  </si>
  <si>
    <t>Polymer capacitor</t>
    <phoneticPr fontId="1" type="noConversion"/>
  </si>
  <si>
    <t>resonant  frequency</t>
    <phoneticPr fontId="1" type="noConversion"/>
  </si>
  <si>
    <t>ESR_temperature</t>
    <phoneticPr fontId="1" type="noConversion"/>
  </si>
  <si>
    <t>ESR_frequency</t>
    <phoneticPr fontId="1" type="noConversion"/>
  </si>
  <si>
    <t>guess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</si>
</sst>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458D-1D86-4F78-8C2C-9E2E9BECBED4}">
  <dimension ref="A1:A4"/>
  <sheetViews>
    <sheetView workbookViewId="0">
      <selection activeCell="A4" sqref="A4"/>
    </sheetView>
  </sheetViews>
  <sheetFormatPr defaultRowHeight="14"/>
  <sheetData>
    <row r="1" spans="1:1">
      <c r="A1" t="s">
        <v>53</v>
      </c>
    </row>
    <row r="2" spans="1:1">
      <c r="A2" t="s">
        <v>54</v>
      </c>
    </row>
    <row r="3" spans="1:1">
      <c r="A3" t="s">
        <v>55</v>
      </c>
    </row>
    <row r="4" spans="1:1">
      <c r="A4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"/>
  <sheetViews>
    <sheetView tabSelected="1" topLeftCell="A50" zoomScale="85" zoomScaleNormal="85" workbookViewId="0">
      <selection activeCell="C50" sqref="C50:F51"/>
    </sheetView>
  </sheetViews>
  <sheetFormatPr defaultRowHeight="14"/>
  <cols>
    <col min="1" max="1" width="17.08203125" customWidth="1"/>
  </cols>
  <sheetData>
    <row r="1" spans="1:19" ht="20">
      <c r="A1" s="3" t="s">
        <v>14</v>
      </c>
    </row>
    <row r="2" spans="1:19">
      <c r="A2" t="s">
        <v>1</v>
      </c>
      <c r="B2" t="s">
        <v>2</v>
      </c>
      <c r="C2" t="s">
        <v>0</v>
      </c>
    </row>
    <row r="3" spans="1:19">
      <c r="A3" t="s">
        <v>3</v>
      </c>
      <c r="F3" s="1"/>
    </row>
    <row r="4" spans="1:19">
      <c r="B4" t="s">
        <v>5</v>
      </c>
      <c r="C4" s="1">
        <v>98.674999999999997</v>
      </c>
      <c r="D4" s="1">
        <v>145.286</v>
      </c>
      <c r="E4" s="1">
        <v>238.00899999999999</v>
      </c>
      <c r="F4" s="1">
        <v>405.82900000000001</v>
      </c>
      <c r="G4" s="1">
        <v>647.327</v>
      </c>
      <c r="H4" s="1">
        <v>1005.35</v>
      </c>
      <c r="I4" s="1">
        <v>1958.866</v>
      </c>
      <c r="J4" s="1">
        <v>5471.7070000000003</v>
      </c>
      <c r="K4" s="1">
        <v>15081.594999999999</v>
      </c>
      <c r="L4" s="1">
        <v>42693.25</v>
      </c>
      <c r="M4" s="1">
        <v>141839.13</v>
      </c>
      <c r="N4" s="1">
        <v>464985.23800000001</v>
      </c>
      <c r="O4" s="1">
        <v>2017208.87</v>
      </c>
      <c r="P4" s="1">
        <v>6269299.2949999999</v>
      </c>
      <c r="Q4" s="1">
        <v>9867480.0549999997</v>
      </c>
    </row>
    <row r="5" spans="1:19">
      <c r="B5" t="s">
        <v>6</v>
      </c>
      <c r="C5">
        <v>0.83</v>
      </c>
      <c r="D5">
        <v>0.54100000000000004</v>
      </c>
      <c r="E5">
        <v>0.32800000000000001</v>
      </c>
      <c r="F5">
        <v>0.19900000000000001</v>
      </c>
      <c r="G5">
        <v>0.13400000000000001</v>
      </c>
      <c r="H5">
        <v>8.6999999999999994E-2</v>
      </c>
      <c r="I5">
        <v>5.7000000000000002E-2</v>
      </c>
      <c r="J5">
        <v>3.2000000000000001E-2</v>
      </c>
      <c r="K5">
        <v>2.3E-2</v>
      </c>
      <c r="L5">
        <v>0.02</v>
      </c>
      <c r="M5">
        <v>0.02</v>
      </c>
      <c r="N5">
        <v>0.02</v>
      </c>
      <c r="O5">
        <v>2.1999999999999999E-2</v>
      </c>
      <c r="P5" s="2">
        <v>2.9000000000000001E-2</v>
      </c>
      <c r="Q5">
        <v>3.5999999999999997E-2</v>
      </c>
    </row>
    <row r="6" spans="1:19">
      <c r="F6" s="1"/>
    </row>
    <row r="7" spans="1:19">
      <c r="F7" s="1"/>
    </row>
    <row r="8" spans="1:19" ht="20">
      <c r="A8" s="3" t="s">
        <v>7</v>
      </c>
      <c r="F8" s="1"/>
      <c r="S8" s="1"/>
    </row>
    <row r="9" spans="1:19">
      <c r="A9" t="s">
        <v>8</v>
      </c>
      <c r="C9" t="s">
        <v>13</v>
      </c>
      <c r="F9" s="1"/>
      <c r="S9" s="1"/>
    </row>
    <row r="10" spans="1:19">
      <c r="B10" t="s">
        <v>9</v>
      </c>
      <c r="C10" s="1">
        <v>-55.137999999999998</v>
      </c>
      <c r="D10" s="1">
        <v>-40.045999999999999</v>
      </c>
      <c r="E10" s="1">
        <v>-25.646000000000001</v>
      </c>
      <c r="F10" s="1">
        <v>-9.5850000000000009</v>
      </c>
      <c r="G10" s="1">
        <v>4.5380000000000003</v>
      </c>
      <c r="H10" s="1">
        <v>20.323</v>
      </c>
      <c r="I10" s="1">
        <v>34.168999999999997</v>
      </c>
      <c r="J10" s="1">
        <v>50.231000000000002</v>
      </c>
      <c r="K10" s="1">
        <v>64.631</v>
      </c>
      <c r="L10" s="1">
        <v>80.691999999999993</v>
      </c>
      <c r="M10" s="1">
        <v>94.537999999999997</v>
      </c>
      <c r="N10" s="1">
        <v>124.58499999999999</v>
      </c>
      <c r="S10" s="1"/>
    </row>
    <row r="11" spans="1:19">
      <c r="B11" t="s">
        <v>6</v>
      </c>
      <c r="C11">
        <v>0.377</v>
      </c>
      <c r="D11">
        <v>0.248</v>
      </c>
      <c r="E11">
        <v>0.17799999999999999</v>
      </c>
      <c r="F11">
        <v>0.13300000000000001</v>
      </c>
      <c r="G11">
        <v>0.11700000000000001</v>
      </c>
      <c r="H11">
        <v>9.0999999999999998E-2</v>
      </c>
      <c r="I11">
        <v>7.6999999999999999E-2</v>
      </c>
      <c r="J11">
        <v>6.8000000000000005E-2</v>
      </c>
      <c r="K11">
        <v>0.06</v>
      </c>
      <c r="L11">
        <v>0.06</v>
      </c>
      <c r="M11">
        <v>5.5E-2</v>
      </c>
      <c r="N11">
        <v>0.04</v>
      </c>
      <c r="S11" s="1"/>
    </row>
    <row r="12" spans="1:19">
      <c r="A12" t="s">
        <v>10</v>
      </c>
      <c r="C12" t="s">
        <v>13</v>
      </c>
      <c r="F12" s="1"/>
      <c r="S12" s="1"/>
    </row>
    <row r="13" spans="1:19">
      <c r="B13" t="s">
        <v>4</v>
      </c>
      <c r="C13">
        <v>120</v>
      </c>
      <c r="D13">
        <v>1000</v>
      </c>
      <c r="E13">
        <v>10000</v>
      </c>
      <c r="F13" s="1">
        <v>100000</v>
      </c>
      <c r="G13">
        <v>500000</v>
      </c>
      <c r="S13" s="1"/>
    </row>
    <row r="14" spans="1:19">
      <c r="B14" t="s">
        <v>12</v>
      </c>
      <c r="C14">
        <v>0.05</v>
      </c>
      <c r="D14">
        <v>0.3</v>
      </c>
      <c r="E14">
        <v>0.7</v>
      </c>
      <c r="F14" s="1">
        <v>1</v>
      </c>
      <c r="G14">
        <v>1</v>
      </c>
      <c r="S14" s="1"/>
    </row>
    <row r="15" spans="1:19">
      <c r="A15" t="s">
        <v>16</v>
      </c>
      <c r="C15" t="s">
        <v>15</v>
      </c>
      <c r="F15" s="1"/>
      <c r="S15" s="1"/>
    </row>
    <row r="16" spans="1:19">
      <c r="B16" t="s">
        <v>9</v>
      </c>
      <c r="C16" s="1">
        <v>-54.246000000000002</v>
      </c>
      <c r="D16" s="1">
        <v>-32.939</v>
      </c>
      <c r="E16" s="1">
        <v>-5.2569999999999997</v>
      </c>
      <c r="F16" s="1">
        <v>19.315999999999999</v>
      </c>
      <c r="G16" s="1">
        <v>58.817999999999998</v>
      </c>
      <c r="H16" s="1">
        <v>93.655000000000001</v>
      </c>
      <c r="I16" s="1">
        <v>123.67</v>
      </c>
      <c r="S16" s="1"/>
    </row>
    <row r="17" spans="1:20">
      <c r="B17" t="s">
        <v>17</v>
      </c>
      <c r="C17">
        <v>6.6340000000000003</v>
      </c>
      <c r="D17">
        <v>6.8179999999999996</v>
      </c>
      <c r="E17">
        <v>7.2009999999999996</v>
      </c>
      <c r="F17">
        <v>8.2560000000000002</v>
      </c>
      <c r="G17">
        <v>9.0860000000000003</v>
      </c>
      <c r="H17">
        <v>9.9079999999999995</v>
      </c>
      <c r="I17">
        <v>10.903</v>
      </c>
      <c r="S17" s="1"/>
    </row>
    <row r="18" spans="1:20">
      <c r="A18" t="s">
        <v>31</v>
      </c>
      <c r="B18" t="s">
        <v>57</v>
      </c>
      <c r="S18" s="1"/>
    </row>
    <row r="19" spans="1:20">
      <c r="A19" s="4"/>
      <c r="B19" s="4">
        <v>1</v>
      </c>
      <c r="C19" s="4"/>
      <c r="D19" s="4"/>
      <c r="E19" s="4"/>
      <c r="F19" s="4"/>
      <c r="G19" s="4"/>
      <c r="H19" s="4"/>
      <c r="I19" s="4"/>
      <c r="J19" s="4"/>
      <c r="K19" s="4"/>
      <c r="L19" s="4"/>
      <c r="S19" s="1"/>
    </row>
    <row r="20" spans="1:20" ht="20">
      <c r="A20" s="3" t="s">
        <v>29</v>
      </c>
      <c r="Q20" s="1"/>
    </row>
    <row r="21" spans="1:20">
      <c r="A21" t="s">
        <v>19</v>
      </c>
      <c r="B21" t="s">
        <v>30</v>
      </c>
      <c r="Q21" s="1"/>
      <c r="S21" s="1"/>
    </row>
    <row r="22" spans="1:20">
      <c r="B22" t="s">
        <v>4</v>
      </c>
      <c r="C22">
        <v>100</v>
      </c>
      <c r="D22">
        <v>200</v>
      </c>
      <c r="E22">
        <v>1000</v>
      </c>
      <c r="F22">
        <v>5000</v>
      </c>
      <c r="G22">
        <v>10000</v>
      </c>
      <c r="H22">
        <v>20000</v>
      </c>
      <c r="I22">
        <v>40000</v>
      </c>
      <c r="J22">
        <v>100000</v>
      </c>
      <c r="Q22" s="1"/>
    </row>
    <row r="23" spans="1:20">
      <c r="B23" t="s">
        <v>11</v>
      </c>
      <c r="C23">
        <v>0.2</v>
      </c>
      <c r="D23">
        <v>0.3</v>
      </c>
      <c r="E23">
        <v>0.55000000000000004</v>
      </c>
      <c r="F23">
        <v>0.85</v>
      </c>
      <c r="G23">
        <v>0.9</v>
      </c>
      <c r="H23">
        <v>0.95</v>
      </c>
      <c r="I23">
        <v>1</v>
      </c>
      <c r="J23">
        <v>1</v>
      </c>
      <c r="Q23" s="1"/>
    </row>
    <row r="24" spans="1:20">
      <c r="A24" t="s">
        <v>26</v>
      </c>
      <c r="C24" t="s">
        <v>30</v>
      </c>
      <c r="D24" s="1"/>
      <c r="E24" s="1"/>
      <c r="F24" s="1"/>
      <c r="G24" s="1"/>
      <c r="H24" s="1"/>
      <c r="I24" s="1"/>
      <c r="J24" s="1"/>
      <c r="Q24" s="1"/>
    </row>
    <row r="25" spans="1:20">
      <c r="B25" t="s">
        <v>28</v>
      </c>
      <c r="C25">
        <v>-25.6</v>
      </c>
      <c r="Q25" s="1"/>
    </row>
    <row r="26" spans="1:20">
      <c r="Q26" s="1"/>
    </row>
    <row r="27" spans="1:20">
      <c r="A27" t="s">
        <v>31</v>
      </c>
      <c r="B27" t="s">
        <v>32</v>
      </c>
      <c r="Q27" s="1"/>
    </row>
    <row r="28" spans="1:20">
      <c r="B28">
        <v>1</v>
      </c>
      <c r="Q28" s="1"/>
    </row>
    <row r="30" spans="1:20" ht="20">
      <c r="A30" s="3" t="s">
        <v>18</v>
      </c>
      <c r="P30" s="1"/>
      <c r="T30" s="1"/>
    </row>
    <row r="31" spans="1:20">
      <c r="A31" t="s">
        <v>24</v>
      </c>
      <c r="B31">
        <v>10000</v>
      </c>
      <c r="C31" t="s">
        <v>25</v>
      </c>
      <c r="P31" s="1"/>
      <c r="T31" s="1"/>
    </row>
    <row r="32" spans="1:20">
      <c r="A32" t="s">
        <v>19</v>
      </c>
      <c r="C32" t="s">
        <v>25</v>
      </c>
      <c r="P32" s="1"/>
      <c r="T32" s="1"/>
    </row>
    <row r="33" spans="1:19">
      <c r="B33" t="s">
        <v>4</v>
      </c>
      <c r="C33">
        <v>100</v>
      </c>
      <c r="D33">
        <v>200</v>
      </c>
      <c r="E33">
        <v>500</v>
      </c>
      <c r="F33">
        <v>1000</v>
      </c>
      <c r="G33">
        <v>5000</v>
      </c>
      <c r="H33">
        <v>10000</v>
      </c>
      <c r="I33">
        <v>50000</v>
      </c>
      <c r="J33">
        <v>100000</v>
      </c>
      <c r="P33" s="1"/>
    </row>
    <row r="34" spans="1:19">
      <c r="B34" t="s">
        <v>20</v>
      </c>
      <c r="C34">
        <v>0.4</v>
      </c>
      <c r="D34">
        <v>0.5</v>
      </c>
      <c r="E34">
        <v>0.6</v>
      </c>
      <c r="F34">
        <v>0.67</v>
      </c>
      <c r="G34">
        <v>0.79</v>
      </c>
      <c r="H34">
        <v>0.84</v>
      </c>
      <c r="I34">
        <v>0.97</v>
      </c>
      <c r="J34">
        <v>1</v>
      </c>
    </row>
    <row r="35" spans="1:19">
      <c r="B35" t="s">
        <v>21</v>
      </c>
      <c r="C35">
        <v>0.22</v>
      </c>
      <c r="D35">
        <v>0.31</v>
      </c>
      <c r="E35" s="1">
        <v>0.42</v>
      </c>
      <c r="F35" s="1">
        <v>0.55000000000000004</v>
      </c>
      <c r="G35" s="1">
        <v>0.75</v>
      </c>
      <c r="H35" s="1">
        <v>0.82</v>
      </c>
      <c r="I35" s="1">
        <v>0.94</v>
      </c>
      <c r="J35" s="1">
        <v>1</v>
      </c>
      <c r="K35" s="1"/>
      <c r="S35" s="1"/>
    </row>
    <row r="36" spans="1:19">
      <c r="A36" t="s">
        <v>22</v>
      </c>
      <c r="B36" t="s">
        <v>23</v>
      </c>
      <c r="S36" s="1"/>
    </row>
    <row r="37" spans="1:19">
      <c r="B37" t="s">
        <v>5</v>
      </c>
      <c r="C37" s="1">
        <v>24.041</v>
      </c>
      <c r="D37" s="1">
        <v>46.415999999999997</v>
      </c>
      <c r="E37" s="1">
        <v>111.58799999999999</v>
      </c>
      <c r="F37" s="1">
        <v>292.86399999999998</v>
      </c>
      <c r="G37" s="1">
        <v>857.69600000000003</v>
      </c>
      <c r="H37" s="1">
        <v>2404.0990000000002</v>
      </c>
      <c r="I37" s="1">
        <v>6738.6270000000004</v>
      </c>
      <c r="J37" s="1">
        <v>22022.019</v>
      </c>
      <c r="K37" s="1">
        <v>54116.953000000001</v>
      </c>
      <c r="L37" s="1">
        <v>188881.95800000001</v>
      </c>
      <c r="M37" s="1">
        <v>517947.46799999999</v>
      </c>
      <c r="N37" s="1">
        <v>957089.12399999995</v>
      </c>
      <c r="S37" s="1"/>
    </row>
    <row r="38" spans="1:19">
      <c r="B38" t="s">
        <v>17</v>
      </c>
      <c r="C38">
        <v>1672.797</v>
      </c>
      <c r="D38">
        <v>796.34100000000001</v>
      </c>
      <c r="E38">
        <v>309.63</v>
      </c>
      <c r="F38">
        <v>142.51</v>
      </c>
      <c r="G38">
        <v>61.311999999999998</v>
      </c>
      <c r="H38">
        <v>34.551000000000002</v>
      </c>
      <c r="I38">
        <v>27.283000000000001</v>
      </c>
      <c r="J38">
        <v>20.138999999999999</v>
      </c>
      <c r="K38">
        <v>17.013000000000002</v>
      </c>
      <c r="L38">
        <v>15.375</v>
      </c>
      <c r="M38">
        <v>15.901999999999999</v>
      </c>
      <c r="N38">
        <v>15.901999999999999</v>
      </c>
      <c r="S38" s="1"/>
    </row>
    <row r="39" spans="1:19">
      <c r="A39" t="s">
        <v>26</v>
      </c>
      <c r="C39" t="s">
        <v>27</v>
      </c>
      <c r="S39" s="1"/>
    </row>
    <row r="40" spans="1:19">
      <c r="B40" t="s">
        <v>28</v>
      </c>
      <c r="C40">
        <f>-23/0.43</f>
        <v>-53.488372093023258</v>
      </c>
      <c r="S40" s="1"/>
    </row>
    <row r="42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9" ht="20">
      <c r="A43" s="3" t="s">
        <v>37</v>
      </c>
      <c r="Q43" s="1"/>
    </row>
    <row r="44" spans="1:19">
      <c r="A44" t="s">
        <v>26</v>
      </c>
      <c r="C44" t="s">
        <v>38</v>
      </c>
    </row>
    <row r="45" spans="1:19">
      <c r="B45" t="s">
        <v>28</v>
      </c>
      <c r="C45">
        <v>-33</v>
      </c>
    </row>
    <row r="46" spans="1:19">
      <c r="A46" t="s">
        <v>19</v>
      </c>
      <c r="B46" t="s">
        <v>38</v>
      </c>
    </row>
    <row r="47" spans="1:19">
      <c r="B47" t="s">
        <v>4</v>
      </c>
      <c r="C47">
        <v>100</v>
      </c>
      <c r="D47">
        <v>300</v>
      </c>
      <c r="E47">
        <v>1000</v>
      </c>
      <c r="F47">
        <v>5000</v>
      </c>
      <c r="G47">
        <v>100000</v>
      </c>
    </row>
    <row r="48" spans="1:19">
      <c r="B48" t="s">
        <v>11</v>
      </c>
      <c r="C48">
        <v>0.35</v>
      </c>
      <c r="D48">
        <v>0.56999999999999995</v>
      </c>
      <c r="E48">
        <v>0.8</v>
      </c>
      <c r="F48">
        <v>1</v>
      </c>
      <c r="G48">
        <v>1.04</v>
      </c>
    </row>
    <row r="49" spans="1:7">
      <c r="A49" t="s">
        <v>22</v>
      </c>
      <c r="B49" t="s">
        <v>48</v>
      </c>
    </row>
    <row r="50" spans="1:7">
      <c r="B50" t="s">
        <v>5</v>
      </c>
      <c r="C50" s="1">
        <v>300</v>
      </c>
      <c r="D50">
        <v>1000</v>
      </c>
      <c r="E50">
        <v>5000</v>
      </c>
      <c r="F50">
        <v>100000</v>
      </c>
    </row>
    <row r="51" spans="1:7">
      <c r="B51" t="s">
        <v>17</v>
      </c>
      <c r="C51">
        <v>2.5</v>
      </c>
      <c r="D51">
        <v>1.4</v>
      </c>
      <c r="E51">
        <v>1</v>
      </c>
      <c r="F51">
        <v>0.9</v>
      </c>
    </row>
    <row r="52" spans="1:7">
      <c r="A52" t="s">
        <v>50</v>
      </c>
      <c r="B52" t="s">
        <v>49</v>
      </c>
    </row>
    <row r="53" spans="1:7">
      <c r="B53" t="s">
        <v>9</v>
      </c>
      <c r="C53">
        <v>-10</v>
      </c>
      <c r="D53">
        <v>60</v>
      </c>
      <c r="E53">
        <v>105</v>
      </c>
      <c r="F53">
        <v>125</v>
      </c>
    </row>
    <row r="54" spans="1:7">
      <c r="B54" t="s">
        <v>6</v>
      </c>
      <c r="C54">
        <v>5</v>
      </c>
      <c r="D54">
        <v>1.5</v>
      </c>
      <c r="E54">
        <v>1.1000000000000001</v>
      </c>
      <c r="F54">
        <v>1</v>
      </c>
    </row>
    <row r="57" spans="1:7" ht="20">
      <c r="A57" s="3" t="s">
        <v>39</v>
      </c>
    </row>
    <row r="58" spans="1:7">
      <c r="A58" t="s">
        <v>52</v>
      </c>
    </row>
    <row r="59" spans="1:7">
      <c r="A59" t="s">
        <v>19</v>
      </c>
      <c r="B59" t="s">
        <v>40</v>
      </c>
    </row>
    <row r="60" spans="1:7">
      <c r="B60" t="s">
        <v>4</v>
      </c>
      <c r="C60">
        <v>100</v>
      </c>
      <c r="D60">
        <v>300</v>
      </c>
      <c r="E60">
        <v>1000</v>
      </c>
      <c r="F60">
        <v>5000</v>
      </c>
      <c r="G60">
        <v>100000</v>
      </c>
    </row>
    <row r="61" spans="1:7">
      <c r="B61" t="s">
        <v>11</v>
      </c>
      <c r="C61">
        <v>0.35</v>
      </c>
      <c r="D61">
        <v>0.56999999999999995</v>
      </c>
      <c r="E61">
        <v>0.8</v>
      </c>
      <c r="F61">
        <v>1</v>
      </c>
      <c r="G61">
        <v>1.04</v>
      </c>
    </row>
    <row r="63" spans="1:7" ht="20">
      <c r="A63" s="3" t="s">
        <v>41</v>
      </c>
    </row>
    <row r="64" spans="1:7">
      <c r="A64" t="s">
        <v>19</v>
      </c>
      <c r="B64" t="s">
        <v>42</v>
      </c>
    </row>
    <row r="65" spans="1:20">
      <c r="B65" t="s">
        <v>4</v>
      </c>
      <c r="C65">
        <v>50</v>
      </c>
      <c r="D65">
        <v>60</v>
      </c>
      <c r="E65">
        <v>120</v>
      </c>
      <c r="F65">
        <v>400</v>
      </c>
      <c r="G65">
        <v>1000</v>
      </c>
      <c r="H65">
        <v>2400</v>
      </c>
      <c r="I65">
        <v>5000</v>
      </c>
      <c r="J65">
        <v>10000</v>
      </c>
    </row>
    <row r="66" spans="1:20">
      <c r="B66" t="s">
        <v>43</v>
      </c>
      <c r="C66">
        <v>0.8</v>
      </c>
      <c r="D66">
        <v>0.85</v>
      </c>
      <c r="E66">
        <v>1</v>
      </c>
      <c r="F66">
        <v>1.1399999999999999</v>
      </c>
      <c r="G66">
        <v>1.23</v>
      </c>
      <c r="H66">
        <v>1.3</v>
      </c>
      <c r="I66">
        <v>1.36</v>
      </c>
      <c r="J66">
        <v>1.4</v>
      </c>
    </row>
    <row r="67" spans="1:20">
      <c r="B67" t="s">
        <v>43</v>
      </c>
      <c r="C67">
        <v>0.7</v>
      </c>
      <c r="D67">
        <v>0.72</v>
      </c>
      <c r="E67">
        <v>1</v>
      </c>
      <c r="F67">
        <v>1.1599999999999999</v>
      </c>
      <c r="G67">
        <v>1.3</v>
      </c>
      <c r="H67">
        <v>1.32</v>
      </c>
      <c r="I67">
        <v>1.36</v>
      </c>
      <c r="J67">
        <v>1.41</v>
      </c>
    </row>
    <row r="68" spans="1:20">
      <c r="A68" t="s">
        <v>26</v>
      </c>
      <c r="C68" t="s">
        <v>42</v>
      </c>
    </row>
    <row r="69" spans="1:20">
      <c r="B69" t="s">
        <v>28</v>
      </c>
      <c r="C69">
        <v>-38</v>
      </c>
    </row>
    <row r="72" spans="1:20" ht="20">
      <c r="A72" s="3" t="s">
        <v>44</v>
      </c>
      <c r="P72" s="1"/>
    </row>
    <row r="73" spans="1:20">
      <c r="A73" t="s">
        <v>8</v>
      </c>
      <c r="C73" t="s">
        <v>45</v>
      </c>
      <c r="F73" s="1"/>
      <c r="G73" s="2"/>
      <c r="P73" s="1"/>
    </row>
    <row r="74" spans="1:20">
      <c r="B74" t="s">
        <v>9</v>
      </c>
      <c r="C74" s="1">
        <v>-39.521999999999998</v>
      </c>
      <c r="D74" s="1">
        <v>-24.064</v>
      </c>
      <c r="E74" s="1">
        <v>10.359</v>
      </c>
      <c r="F74" s="1">
        <v>40.319000000000003</v>
      </c>
      <c r="G74" s="1">
        <v>105.179</v>
      </c>
      <c r="H74" s="1"/>
      <c r="I74" s="1"/>
      <c r="J74" s="1"/>
      <c r="K74" s="1"/>
      <c r="P74" s="1"/>
    </row>
    <row r="75" spans="1:20">
      <c r="B75" t="s">
        <v>6</v>
      </c>
      <c r="C75">
        <v>15.051</v>
      </c>
      <c r="D75">
        <v>8.1910000000000007</v>
      </c>
      <c r="E75">
        <v>3.1739999999999999</v>
      </c>
      <c r="F75" s="1">
        <v>2.2530000000000001</v>
      </c>
      <c r="G75" s="1">
        <v>1.843</v>
      </c>
      <c r="P75" s="1"/>
      <c r="Q75" s="1"/>
    </row>
    <row r="76" spans="1:20">
      <c r="A76" t="s">
        <v>22</v>
      </c>
      <c r="B76" t="s">
        <v>46</v>
      </c>
      <c r="P76" s="1"/>
      <c r="Q76" s="1"/>
    </row>
    <row r="77" spans="1:20">
      <c r="B77" t="s">
        <v>5</v>
      </c>
      <c r="C77">
        <v>101</v>
      </c>
      <c r="D77">
        <v>292</v>
      </c>
      <c r="E77">
        <v>590</v>
      </c>
      <c r="F77">
        <v>973</v>
      </c>
      <c r="G77">
        <v>2546</v>
      </c>
      <c r="H77">
        <v>6310</v>
      </c>
      <c r="I77">
        <v>13471</v>
      </c>
      <c r="J77">
        <v>29155</v>
      </c>
      <c r="K77">
        <v>55103</v>
      </c>
      <c r="L77">
        <v>97327</v>
      </c>
      <c r="M77" s="1"/>
      <c r="Q77" s="1"/>
    </row>
    <row r="78" spans="1:20">
      <c r="B78" t="s">
        <v>17</v>
      </c>
      <c r="C78">
        <v>1.3220000000000001</v>
      </c>
      <c r="D78">
        <v>0.83299999999999996</v>
      </c>
      <c r="E78">
        <v>0.64500000000000002</v>
      </c>
      <c r="F78">
        <v>0.55000000000000004</v>
      </c>
      <c r="G78">
        <v>0.49199999999999999</v>
      </c>
      <c r="H78">
        <v>0.44700000000000001</v>
      </c>
      <c r="I78">
        <v>0.42599999999999999</v>
      </c>
      <c r="J78">
        <v>0.41299999999999998</v>
      </c>
      <c r="K78">
        <v>0.4</v>
      </c>
      <c r="L78">
        <v>0.36899999999999999</v>
      </c>
      <c r="Q78" s="1"/>
    </row>
    <row r="79" spans="1:20">
      <c r="A79" t="s">
        <v>26</v>
      </c>
      <c r="C79" t="s">
        <v>47</v>
      </c>
      <c r="Q79" s="1"/>
    </row>
    <row r="80" spans="1:20">
      <c r="B80" t="s">
        <v>28</v>
      </c>
      <c r="C80">
        <v>-33</v>
      </c>
      <c r="P80" s="1"/>
      <c r="Q80" s="1"/>
      <c r="R80" s="1"/>
      <c r="S80" s="1"/>
      <c r="T80" s="1"/>
    </row>
    <row r="81" spans="1:20">
      <c r="S81" s="1"/>
      <c r="T81" s="1"/>
    </row>
    <row r="82" spans="1:20">
      <c r="Q82" s="1"/>
    </row>
    <row r="83" spans="1:20" ht="20">
      <c r="A83" s="3" t="s">
        <v>51</v>
      </c>
      <c r="F83" s="1"/>
      <c r="P83" s="1"/>
      <c r="S83" s="1"/>
    </row>
    <row r="84" spans="1:20">
      <c r="A84" t="s">
        <v>8</v>
      </c>
      <c r="F84" s="1"/>
      <c r="G84" s="2"/>
      <c r="P84" s="1"/>
      <c r="S84" s="1"/>
      <c r="T84" s="1"/>
    </row>
    <row r="85" spans="1:20">
      <c r="B85" t="s">
        <v>9</v>
      </c>
      <c r="C85" s="1">
        <v>-55.137999999999998</v>
      </c>
      <c r="D85" s="1">
        <v>-44.753999999999998</v>
      </c>
      <c r="E85" s="1">
        <v>-33.4</v>
      </c>
      <c r="F85" s="1">
        <v>-17.338000000000001</v>
      </c>
      <c r="G85" s="1">
        <v>3.431</v>
      </c>
      <c r="H85" s="1">
        <v>35</v>
      </c>
      <c r="I85" s="1">
        <v>64.631</v>
      </c>
      <c r="J85" s="1">
        <v>95.369</v>
      </c>
      <c r="K85" s="1">
        <v>124.58499999999999</v>
      </c>
      <c r="P85" s="1"/>
      <c r="S85" s="1"/>
      <c r="T85" s="1"/>
    </row>
    <row r="86" spans="1:20">
      <c r="B86" t="s">
        <v>6</v>
      </c>
      <c r="C86">
        <v>286.10300000000001</v>
      </c>
      <c r="D86">
        <v>75.302999999999997</v>
      </c>
      <c r="E86">
        <v>20.664000000000001</v>
      </c>
      <c r="F86">
        <v>8.2539999999999996</v>
      </c>
      <c r="G86">
        <v>6.9859999999999998</v>
      </c>
      <c r="H86">
        <v>3.7360000000000002</v>
      </c>
      <c r="I86">
        <v>2.6760000000000002</v>
      </c>
      <c r="J86">
        <v>2.1720000000000002</v>
      </c>
      <c r="K86">
        <v>1.6910000000000001</v>
      </c>
      <c r="P86" s="1"/>
      <c r="S86" s="1"/>
      <c r="T86" s="1"/>
    </row>
    <row r="87" spans="1:20">
      <c r="A87" t="s">
        <v>22</v>
      </c>
      <c r="B87" t="s">
        <v>23</v>
      </c>
      <c r="P87" s="1"/>
      <c r="S87" s="1"/>
      <c r="T87" s="1"/>
    </row>
    <row r="88" spans="1:20">
      <c r="B88" t="s">
        <v>5</v>
      </c>
      <c r="C88" s="1">
        <v>22.51</v>
      </c>
      <c r="D88" s="1">
        <v>61.726999999999997</v>
      </c>
      <c r="E88" s="1">
        <v>220.22</v>
      </c>
      <c r="F88" s="1">
        <v>751.95299999999997</v>
      </c>
      <c r="G88" s="1">
        <v>2457.402</v>
      </c>
      <c r="H88" s="1">
        <v>6309.5730000000003</v>
      </c>
      <c r="I88" s="1">
        <v>21077.035</v>
      </c>
      <c r="J88" s="1">
        <v>56543.273999999998</v>
      </c>
      <c r="K88" s="1">
        <v>176855.69399999999</v>
      </c>
      <c r="L88" s="1">
        <v>506712.83500000002</v>
      </c>
      <c r="M88" s="1">
        <v>916019.59100000001</v>
      </c>
      <c r="P88" s="1"/>
      <c r="S88" s="1"/>
      <c r="T88" s="1"/>
    </row>
    <row r="89" spans="1:20">
      <c r="B89" t="s">
        <v>17</v>
      </c>
      <c r="C89">
        <v>2048.12</v>
      </c>
      <c r="D89">
        <v>1078.865</v>
      </c>
      <c r="E89">
        <v>607.971</v>
      </c>
      <c r="F89">
        <v>480.08600000000001</v>
      </c>
      <c r="G89">
        <v>448.76100000000002</v>
      </c>
      <c r="H89">
        <v>392.10899999999998</v>
      </c>
      <c r="I89">
        <v>354.36500000000001</v>
      </c>
      <c r="J89">
        <v>379.101</v>
      </c>
      <c r="K89">
        <v>342.60899999999998</v>
      </c>
      <c r="L89">
        <v>309.63</v>
      </c>
      <c r="M89">
        <v>299.358</v>
      </c>
      <c r="P89" s="1"/>
      <c r="S89" s="1"/>
      <c r="T89" s="1"/>
    </row>
    <row r="90" spans="1:20">
      <c r="A90" t="s">
        <v>33</v>
      </c>
      <c r="B90" t="s">
        <v>30</v>
      </c>
      <c r="P90" s="1"/>
      <c r="S90" s="1"/>
      <c r="T90" s="1"/>
    </row>
    <row r="91" spans="1:20">
      <c r="B91" t="s">
        <v>9</v>
      </c>
      <c r="C91">
        <v>-20</v>
      </c>
      <c r="D91">
        <v>20</v>
      </c>
      <c r="E91">
        <v>125</v>
      </c>
      <c r="P91" s="1"/>
      <c r="S91" s="1"/>
      <c r="T91" s="1"/>
    </row>
    <row r="92" spans="1:20">
      <c r="B92" t="s">
        <v>35</v>
      </c>
      <c r="C92">
        <v>6</v>
      </c>
      <c r="D92">
        <v>8</v>
      </c>
      <c r="E92">
        <v>8.5</v>
      </c>
      <c r="P92" s="1"/>
      <c r="S92" s="1"/>
      <c r="T92" s="1"/>
    </row>
    <row r="93" spans="1:20">
      <c r="B93" t="s">
        <v>36</v>
      </c>
      <c r="C93">
        <v>7</v>
      </c>
      <c r="D93">
        <v>10</v>
      </c>
      <c r="E93">
        <v>14</v>
      </c>
      <c r="P93" s="1"/>
      <c r="S93" s="1"/>
      <c r="T93" s="1"/>
    </row>
    <row r="94" spans="1:20">
      <c r="B94" t="s">
        <v>34</v>
      </c>
      <c r="C94">
        <v>8</v>
      </c>
      <c r="D94">
        <v>12</v>
      </c>
      <c r="E94">
        <v>16</v>
      </c>
      <c r="P94" s="1"/>
      <c r="S94" s="1"/>
      <c r="T9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equations</vt:lpstr>
      <vt:lpstr>original_data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 s</dc:creator>
  <cp:lastModifiedBy>hz s</cp:lastModifiedBy>
  <dcterms:created xsi:type="dcterms:W3CDTF">2015-06-05T18:19:34Z</dcterms:created>
  <dcterms:modified xsi:type="dcterms:W3CDTF">2025-07-09T23:56:31Z</dcterms:modified>
</cp:coreProperties>
</file>